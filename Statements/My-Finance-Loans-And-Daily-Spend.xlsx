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robinsh_kumar_sap_com/Documents/"/>
    </mc:Choice>
  </mc:AlternateContent>
  <xr:revisionPtr revIDLastSave="5" documentId="8_{88086612-4017-CC48-9FA4-5DF479297027}" xr6:coauthVersionLast="47" xr6:coauthVersionMax="47" xr10:uidLastSave="{9BD613B3-2905-3C40-9F27-4F457FB09142}"/>
  <bookViews>
    <workbookView xWindow="0" yWindow="680" windowWidth="30240" windowHeight="18960" xr2:uid="{CCB3B89F-3481-1D4F-A94B-6F0D5C102771}"/>
  </bookViews>
  <sheets>
    <sheet name="Loans-Details" sheetId="1" r:id="rId1"/>
    <sheet name="March-Daily-Spend-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2" l="1"/>
  <c r="F11" i="2"/>
  <c r="D18" i="2"/>
  <c r="D11" i="2"/>
  <c r="F6" i="2"/>
  <c r="D6" i="2"/>
  <c r="D12" i="1"/>
  <c r="K20" i="1"/>
  <c r="J20" i="1"/>
  <c r="I20" i="1"/>
  <c r="F20" i="1"/>
  <c r="D20" i="1"/>
  <c r="C20" i="1"/>
  <c r="F12" i="1"/>
  <c r="I12" i="1"/>
  <c r="J12" i="1"/>
  <c r="K12" i="1"/>
  <c r="C12" i="1"/>
  <c r="C14" i="1" s="1"/>
  <c r="C23" i="1" s="1"/>
  <c r="K5" i="1"/>
  <c r="K14" i="1" s="1"/>
  <c r="K23" i="1" s="1"/>
  <c r="J5" i="1"/>
  <c r="I5" i="1"/>
  <c r="C5" i="1"/>
  <c r="F5" i="1"/>
  <c r="D5" i="1"/>
  <c r="F14" i="1" l="1"/>
  <c r="F23" i="1" s="1"/>
  <c r="D14" i="1"/>
  <c r="D23" i="1" s="1"/>
  <c r="I14" i="1"/>
  <c r="I23" i="1" s="1"/>
  <c r="J14" i="1"/>
  <c r="J23" i="1" s="1"/>
</calcChain>
</file>

<file path=xl/sharedStrings.xml><?xml version="1.0" encoding="utf-8"?>
<sst xmlns="http://schemas.openxmlformats.org/spreadsheetml/2006/main" count="64" uniqueCount="46">
  <si>
    <t>Loan ID</t>
  </si>
  <si>
    <t>Vendor</t>
  </si>
  <si>
    <t>Loan Amount</t>
  </si>
  <si>
    <t>Principal Oustanding</t>
  </si>
  <si>
    <t>EMI Per month</t>
  </si>
  <si>
    <t>EMI Date</t>
  </si>
  <si>
    <t>Total No of EMIs</t>
  </si>
  <si>
    <t>Left No of EMIs</t>
  </si>
  <si>
    <t>Total  To Be Paid</t>
  </si>
  <si>
    <t>Total Already Paid</t>
  </si>
  <si>
    <t>Total Interests</t>
  </si>
  <si>
    <t>Closure Date</t>
  </si>
  <si>
    <t>HDFC</t>
  </si>
  <si>
    <t>ROI</t>
  </si>
  <si>
    <t>Type</t>
  </si>
  <si>
    <t>Jumbo</t>
  </si>
  <si>
    <t>Booked Date</t>
  </si>
  <si>
    <t>Insta</t>
  </si>
  <si>
    <t>Offus EMI</t>
  </si>
  <si>
    <t>PL</t>
  </si>
  <si>
    <t>`</t>
  </si>
  <si>
    <t>TOTAL:</t>
  </si>
  <si>
    <t>GRAND TOTAL:</t>
  </si>
  <si>
    <t>LPGAY00047818403</t>
  </si>
  <si>
    <t>ICICI</t>
  </si>
  <si>
    <t>LPBNG00049909955</t>
  </si>
  <si>
    <t>HDFC TOTAL:</t>
  </si>
  <si>
    <t>Date</t>
  </si>
  <si>
    <t>Debited</t>
  </si>
  <si>
    <t>Closing Balance</t>
  </si>
  <si>
    <t xml:space="preserve">Debit For </t>
  </si>
  <si>
    <t>Salary</t>
  </si>
  <si>
    <t>Credited  Amount</t>
  </si>
  <si>
    <t>Source Of Credit</t>
  </si>
  <si>
    <t>UPI : Milk</t>
  </si>
  <si>
    <t>UPI : Grocery</t>
  </si>
  <si>
    <t>UPI : Urban Company Maid</t>
  </si>
  <si>
    <t>UPI  : Zomato</t>
  </si>
  <si>
    <t>UPI : Lazy Pay Dues</t>
  </si>
  <si>
    <t>UPI : Chunnu Bhaiya Dues</t>
  </si>
  <si>
    <t>UPI : Credit Card Payment : HDFC 3646</t>
  </si>
  <si>
    <t>UPI : Credit Card Payment : ICICI 9003</t>
  </si>
  <si>
    <t>Total Debit:</t>
  </si>
  <si>
    <t>Comments</t>
  </si>
  <si>
    <t>Includes: 3 Insta loan of Amount: Rs. 2777, Rs. 1875, and Rs. 357, Total:5009, Others: 1298.</t>
  </si>
  <si>
    <t>Includes Flight Ticket, multiple Train Tickets and some daily expenditure.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</si>
</sst>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b/>
      <sz val="12"/>
      <name val="Aptos Narrow"/>
      <scheme val="minor"/>
    </font>
    <font>
      <sz val="12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3" fontId="0" fillId="0" borderId="0" xfId="0" applyNumberFormat="1"/>
    <xf numFmtId="15" fontId="0" fillId="0" borderId="0" xfId="0" applyNumberFormat="1"/>
    <xf numFmtId="0" fontId="1" fillId="2" borderId="0" xfId="0" applyFont="1" applyFill="1"/>
    <xf numFmtId="0" fontId="0" fillId="3" borderId="0" xfId="0" applyFill="1"/>
    <xf numFmtId="3" fontId="0" fillId="3" borderId="0" xfId="0" applyNumberFormat="1" applyFill="1"/>
    <xf numFmtId="0" fontId="0" fillId="4" borderId="0" xfId="0" applyFill="1"/>
    <xf numFmtId="3" fontId="0" fillId="4" borderId="0" xfId="0" applyNumberFormat="1" applyFill="1"/>
    <xf numFmtId="15" fontId="0" fillId="3" borderId="0" xfId="0" applyNumberFormat="1" applyFill="1"/>
    <xf numFmtId="15" fontId="1" fillId="0" borderId="0" xfId="0" applyNumberFormat="1" applyFont="1"/>
    <xf numFmtId="3" fontId="1" fillId="2" borderId="0" xfId="0" applyNumberFormat="1" applyFont="1" applyFill="1"/>
    <xf numFmtId="0" fontId="1" fillId="5" borderId="0" xfId="0" applyFont="1" applyFill="1" applyAlignment="1">
      <alignment horizontal="right"/>
    </xf>
    <xf numFmtId="3" fontId="1" fillId="6" borderId="0" xfId="0" applyNumberFormat="1" applyFont="1" applyFill="1"/>
    <xf numFmtId="0" fontId="1" fillId="6" borderId="0" xfId="0" applyFont="1" applyFill="1"/>
    <xf numFmtId="0" fontId="0" fillId="7" borderId="0" xfId="0" applyFill="1"/>
    <xf numFmtId="3" fontId="0" fillId="7" borderId="0" xfId="0" applyNumberFormat="1" applyFill="1"/>
    <xf numFmtId="15" fontId="0" fillId="7" borderId="0" xfId="0" applyNumberFormat="1" applyFill="1"/>
    <xf numFmtId="3" fontId="2" fillId="7" borderId="0" xfId="0" applyNumberFormat="1" applyFont="1" applyFill="1"/>
    <xf numFmtId="0" fontId="3" fillId="5" borderId="0" xfId="0" applyFont="1" applyFill="1" applyAlignment="1">
      <alignment horizontal="right"/>
    </xf>
    <xf numFmtId="3" fontId="4" fillId="0" borderId="0" xfId="0" applyNumberFormat="1" applyFont="1"/>
    <xf numFmtId="0" fontId="4" fillId="0" borderId="0" xfId="0" applyFont="1"/>
    <xf numFmtId="3" fontId="3" fillId="2" borderId="0" xfId="0" applyNumberFormat="1" applyFont="1" applyFill="1"/>
    <xf numFmtId="0" fontId="4" fillId="3" borderId="0" xfId="0" applyFont="1" applyFill="1"/>
    <xf numFmtId="0" fontId="4" fillId="7" borderId="0" xfId="0" applyFont="1" applyFill="1"/>
    <xf numFmtId="3" fontId="3" fillId="6" borderId="0" xfId="0" applyNumberFormat="1" applyFont="1" applyFill="1"/>
    <xf numFmtId="14" fontId="1" fillId="8" borderId="0" xfId="0" applyNumberFormat="1" applyFont="1" applyFill="1"/>
    <xf numFmtId="3" fontId="0" fillId="8" borderId="0" xfId="0" applyNumberFormat="1" applyFill="1"/>
    <xf numFmtId="0" fontId="0" fillId="8" borderId="0" xfId="0" applyFill="1"/>
    <xf numFmtId="0" fontId="1" fillId="8" borderId="0" xfId="0" applyFont="1" applyFill="1"/>
    <xf numFmtId="0" fontId="1" fillId="7" borderId="0" xfId="0" applyFont="1" applyFill="1"/>
    <xf numFmtId="3" fontId="1" fillId="7" borderId="0" xfId="0" applyNumberFormat="1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9F183-A207-E34C-8F12-4BFEC38A33D7}">
  <dimension ref="A1:P23"/>
  <sheetViews>
    <sheetView tabSelected="1" workbookViewId="0">
      <selection activeCell="G30" sqref="G30"/>
    </sheetView>
  </sheetViews>
  <sheetFormatPr baseColWidth="10" defaultRowHeight="16"/>
  <cols>
    <col min="1" max="1" width="21.6640625" customWidth="1"/>
    <col min="2" max="2" width="15.83203125" customWidth="1"/>
    <col min="3" max="3" width="18.6640625" customWidth="1"/>
    <col min="4" max="4" width="16.83203125" style="21" customWidth="1"/>
    <col min="6" max="6" width="19.6640625" customWidth="1"/>
    <col min="7" max="7" width="17.33203125" customWidth="1"/>
    <col min="8" max="9" width="17" customWidth="1"/>
    <col min="10" max="10" width="16.33203125" customWidth="1"/>
    <col min="11" max="11" width="13.5" customWidth="1"/>
    <col min="12" max="12" width="14" customWidth="1"/>
    <col min="15" max="15" width="11.6640625" bestFit="1" customWidth="1"/>
  </cols>
  <sheetData>
    <row r="1" spans="1:15" s="12" customFormat="1">
      <c r="A1" s="12" t="s">
        <v>0</v>
      </c>
      <c r="B1" s="12" t="s">
        <v>1</v>
      </c>
      <c r="C1" s="12" t="s">
        <v>2</v>
      </c>
      <c r="D1" s="19" t="s">
        <v>4</v>
      </c>
      <c r="E1" s="12" t="s">
        <v>5</v>
      </c>
      <c r="F1" s="12" t="s">
        <v>3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13</v>
      </c>
      <c r="N1" s="12" t="s">
        <v>14</v>
      </c>
      <c r="O1" s="12" t="s">
        <v>16</v>
      </c>
    </row>
    <row r="2" spans="1:15">
      <c r="A2">
        <v>129249405</v>
      </c>
      <c r="B2" t="s">
        <v>12</v>
      </c>
      <c r="C2" s="2">
        <v>595000</v>
      </c>
      <c r="D2" s="20">
        <v>15459</v>
      </c>
      <c r="E2">
        <v>15</v>
      </c>
      <c r="F2" s="2">
        <v>544734</v>
      </c>
      <c r="G2">
        <v>48</v>
      </c>
      <c r="H2" s="7">
        <v>43</v>
      </c>
      <c r="I2" s="2">
        <v>742032</v>
      </c>
      <c r="J2" s="2">
        <v>77295</v>
      </c>
      <c r="K2" s="2">
        <v>147032</v>
      </c>
      <c r="L2" s="3">
        <v>47353</v>
      </c>
      <c r="M2">
        <v>11.28</v>
      </c>
      <c r="N2" t="s">
        <v>15</v>
      </c>
      <c r="O2" s="3">
        <v>45908</v>
      </c>
    </row>
    <row r="3" spans="1:15">
      <c r="A3">
        <v>154351967</v>
      </c>
      <c r="B3" t="s">
        <v>12</v>
      </c>
      <c r="C3" s="2">
        <v>60000</v>
      </c>
      <c r="D3" s="21">
        <v>1587</v>
      </c>
      <c r="E3">
        <v>7</v>
      </c>
      <c r="F3" s="2">
        <v>40841</v>
      </c>
      <c r="G3">
        <v>48</v>
      </c>
      <c r="H3" s="7">
        <v>30</v>
      </c>
      <c r="I3" s="2">
        <v>76176</v>
      </c>
      <c r="J3" s="2">
        <v>28566</v>
      </c>
      <c r="K3" s="2">
        <v>17176</v>
      </c>
      <c r="L3" s="3">
        <v>46972</v>
      </c>
      <c r="M3">
        <v>12.24</v>
      </c>
      <c r="N3" t="s">
        <v>19</v>
      </c>
      <c r="O3" s="3">
        <v>45497</v>
      </c>
    </row>
    <row r="4" spans="1:15">
      <c r="A4">
        <v>147390758</v>
      </c>
      <c r="B4" t="s">
        <v>12</v>
      </c>
      <c r="C4" s="2">
        <v>50000</v>
      </c>
      <c r="D4" s="21">
        <v>1661</v>
      </c>
      <c r="E4">
        <v>7</v>
      </c>
      <c r="F4" s="2">
        <v>15731</v>
      </c>
      <c r="G4">
        <v>36</v>
      </c>
      <c r="H4" s="7">
        <v>10</v>
      </c>
      <c r="I4" s="2">
        <v>59796</v>
      </c>
      <c r="J4" s="2">
        <v>43186</v>
      </c>
      <c r="K4" s="2">
        <v>9796</v>
      </c>
      <c r="L4" s="3">
        <v>46363</v>
      </c>
      <c r="M4">
        <v>12.01</v>
      </c>
      <c r="N4" t="s">
        <v>19</v>
      </c>
      <c r="O4" s="3">
        <v>45266</v>
      </c>
    </row>
    <row r="5" spans="1:15" s="1" customFormat="1">
      <c r="B5" s="4" t="s">
        <v>21</v>
      </c>
      <c r="C5" s="11">
        <f>C2+C3+C4</f>
        <v>705000</v>
      </c>
      <c r="D5" s="22">
        <f>D2+D3+D4</f>
        <v>18707</v>
      </c>
      <c r="F5" s="11">
        <f>F2+F3+F4</f>
        <v>601306</v>
      </c>
      <c r="I5" s="11">
        <f>I2+I3+I4</f>
        <v>878004</v>
      </c>
      <c r="J5" s="11">
        <f>J2+J3+J4</f>
        <v>149047</v>
      </c>
      <c r="K5" s="11">
        <f>K2+K3+K4</f>
        <v>174004</v>
      </c>
      <c r="L5" s="10"/>
    </row>
    <row r="6" spans="1:15">
      <c r="C6" s="2"/>
      <c r="L6" s="3"/>
    </row>
    <row r="7" spans="1:15" s="5" customFormat="1">
      <c r="C7" s="6"/>
      <c r="D7" s="23"/>
      <c r="L7" s="9"/>
    </row>
    <row r="8" spans="1:15">
      <c r="A8">
        <v>122172423</v>
      </c>
      <c r="B8" t="s">
        <v>12</v>
      </c>
      <c r="C8" s="2">
        <v>56000</v>
      </c>
      <c r="D8" s="20">
        <v>5029</v>
      </c>
      <c r="E8">
        <v>15</v>
      </c>
      <c r="F8" s="2">
        <v>10060</v>
      </c>
      <c r="G8">
        <v>12</v>
      </c>
      <c r="H8" s="7">
        <v>2</v>
      </c>
      <c r="I8" s="2">
        <v>60360</v>
      </c>
      <c r="J8" s="2">
        <v>50290</v>
      </c>
      <c r="K8" s="2">
        <v>4360</v>
      </c>
      <c r="L8" s="3">
        <v>46104</v>
      </c>
      <c r="M8">
        <v>14.04</v>
      </c>
      <c r="N8" t="s">
        <v>15</v>
      </c>
      <c r="O8" s="3">
        <v>45753</v>
      </c>
    </row>
    <row r="9" spans="1:15">
      <c r="A9">
        <v>121132143</v>
      </c>
      <c r="B9" t="s">
        <v>12</v>
      </c>
      <c r="C9" s="2">
        <v>31000</v>
      </c>
      <c r="D9" s="20">
        <v>2777</v>
      </c>
      <c r="E9">
        <v>5</v>
      </c>
      <c r="F9" s="2">
        <v>2746</v>
      </c>
      <c r="G9" s="2">
        <v>12</v>
      </c>
      <c r="H9" s="8">
        <v>1</v>
      </c>
      <c r="I9" s="2">
        <v>33324</v>
      </c>
      <c r="J9" s="2">
        <v>30547</v>
      </c>
      <c r="K9" s="2">
        <v>2324</v>
      </c>
      <c r="L9" s="3">
        <v>46076</v>
      </c>
      <c r="M9" s="2">
        <v>13.56</v>
      </c>
      <c r="N9" t="s">
        <v>17</v>
      </c>
      <c r="O9" s="3">
        <v>45730</v>
      </c>
    </row>
    <row r="10" spans="1:15">
      <c r="A10">
        <v>131491825</v>
      </c>
      <c r="B10" t="s">
        <v>12</v>
      </c>
      <c r="C10" s="2">
        <v>10741</v>
      </c>
      <c r="D10" s="21">
        <v>1875</v>
      </c>
      <c r="E10">
        <v>5</v>
      </c>
      <c r="F10" s="2">
        <v>3675</v>
      </c>
      <c r="G10">
        <v>6</v>
      </c>
      <c r="H10" s="7">
        <v>2</v>
      </c>
      <c r="I10" s="2">
        <v>11250</v>
      </c>
      <c r="J10" s="2">
        <v>7500</v>
      </c>
      <c r="K10">
        <v>509</v>
      </c>
      <c r="L10" s="3">
        <v>46104</v>
      </c>
      <c r="M10">
        <v>16</v>
      </c>
      <c r="N10" t="s">
        <v>18</v>
      </c>
      <c r="O10" s="3">
        <v>45947</v>
      </c>
    </row>
    <row r="11" spans="1:15">
      <c r="A11">
        <v>100877534</v>
      </c>
      <c r="B11" t="s">
        <v>12</v>
      </c>
      <c r="C11" s="2">
        <v>10000</v>
      </c>
      <c r="D11" s="21">
        <v>357</v>
      </c>
      <c r="E11">
        <v>5</v>
      </c>
      <c r="F11" s="2">
        <v>3610</v>
      </c>
      <c r="G11">
        <v>36</v>
      </c>
      <c r="H11" s="7">
        <v>11</v>
      </c>
      <c r="I11" s="2">
        <v>12916</v>
      </c>
      <c r="J11">
        <v>9000</v>
      </c>
      <c r="K11" s="2">
        <v>2916</v>
      </c>
      <c r="L11" s="3">
        <v>46379</v>
      </c>
      <c r="M11">
        <v>17.04</v>
      </c>
      <c r="N11" t="s">
        <v>17</v>
      </c>
      <c r="O11" s="3">
        <v>45283</v>
      </c>
    </row>
    <row r="12" spans="1:15">
      <c r="B12" s="4" t="s">
        <v>21</v>
      </c>
      <c r="C12" s="11">
        <f>C8+C9+C10+C11</f>
        <v>107741</v>
      </c>
      <c r="D12" s="22">
        <f>D8+D9+D10+D11</f>
        <v>10038</v>
      </c>
      <c r="F12" s="11">
        <f>F8+F9+F10+F11</f>
        <v>20091</v>
      </c>
      <c r="I12" s="11">
        <f>I8+I9+I10+I11</f>
        <v>117850</v>
      </c>
      <c r="J12" s="11">
        <f>J8+J9+J10+J11</f>
        <v>97337</v>
      </c>
      <c r="K12" s="11">
        <f>K8+K9+K10+K11</f>
        <v>10109</v>
      </c>
    </row>
    <row r="13" spans="1:15">
      <c r="B13" s="1"/>
      <c r="C13" s="2"/>
      <c r="D13" s="20"/>
      <c r="F13" s="2"/>
      <c r="I13" s="2"/>
      <c r="J13" s="2"/>
      <c r="K13" s="2"/>
    </row>
    <row r="14" spans="1:15" s="1" customFormat="1">
      <c r="B14" s="4" t="s">
        <v>26</v>
      </c>
      <c r="C14" s="11">
        <f>C5+C12</f>
        <v>812741</v>
      </c>
      <c r="D14" s="22">
        <f>D5+D12</f>
        <v>28745</v>
      </c>
      <c r="F14" s="11">
        <f>F5+F12</f>
        <v>621397</v>
      </c>
      <c r="I14" s="11">
        <f>I5+I12</f>
        <v>995854</v>
      </c>
      <c r="J14" s="11">
        <f>J5+J12</f>
        <v>246384</v>
      </c>
      <c r="K14" s="11">
        <f>K5+K12</f>
        <v>184113</v>
      </c>
    </row>
    <row r="15" spans="1:15">
      <c r="B15" s="1"/>
      <c r="C15" s="2"/>
      <c r="D15" s="20"/>
      <c r="F15" s="2"/>
      <c r="I15" s="2"/>
      <c r="J15" s="2"/>
      <c r="K15" s="2"/>
    </row>
    <row r="16" spans="1:15" s="5" customFormat="1">
      <c r="D16" s="23"/>
    </row>
    <row r="17" spans="1:16" s="5" customFormat="1">
      <c r="D17" s="23"/>
    </row>
    <row r="18" spans="1:16">
      <c r="A18" t="s">
        <v>23</v>
      </c>
      <c r="B18" s="2" t="s">
        <v>24</v>
      </c>
      <c r="C18" s="2">
        <v>300000</v>
      </c>
      <c r="D18" s="20">
        <v>7964</v>
      </c>
      <c r="E18">
        <v>5</v>
      </c>
      <c r="F18" s="2">
        <v>110232</v>
      </c>
      <c r="G18" s="2">
        <v>48</v>
      </c>
      <c r="H18" s="8">
        <v>15</v>
      </c>
      <c r="I18" s="2">
        <v>382272</v>
      </c>
      <c r="J18" s="2">
        <v>262812</v>
      </c>
      <c r="K18" s="2">
        <v>82272</v>
      </c>
      <c r="L18" s="3">
        <v>46512</v>
      </c>
      <c r="M18">
        <v>12.25</v>
      </c>
      <c r="N18" t="s">
        <v>19</v>
      </c>
      <c r="O18" s="3">
        <v>45041</v>
      </c>
    </row>
    <row r="19" spans="1:16" s="15" customFormat="1">
      <c r="A19" s="15" t="s">
        <v>25</v>
      </c>
      <c r="B19" s="15" t="s">
        <v>24</v>
      </c>
      <c r="C19" s="16">
        <v>60000</v>
      </c>
      <c r="D19" s="24">
        <v>1674</v>
      </c>
      <c r="E19" s="15">
        <v>5</v>
      </c>
      <c r="F19" s="16">
        <v>39310</v>
      </c>
      <c r="G19" s="15">
        <v>48</v>
      </c>
      <c r="H19" s="15">
        <v>28</v>
      </c>
      <c r="I19" s="16">
        <v>80352</v>
      </c>
      <c r="J19" s="16">
        <v>33480</v>
      </c>
      <c r="K19" s="16">
        <v>20352</v>
      </c>
      <c r="L19" s="17">
        <v>46909</v>
      </c>
      <c r="M19" s="18">
        <v>15</v>
      </c>
      <c r="N19" s="15" t="s">
        <v>19</v>
      </c>
      <c r="O19" s="17">
        <v>45443</v>
      </c>
    </row>
    <row r="20" spans="1:16" s="1" customFormat="1">
      <c r="B20" s="4" t="s">
        <v>21</v>
      </c>
      <c r="C20" s="11">
        <f>C18+C19</f>
        <v>360000</v>
      </c>
      <c r="D20" s="22">
        <f>D18+D19</f>
        <v>9638</v>
      </c>
      <c r="F20" s="11">
        <f>F18+F19</f>
        <v>149542</v>
      </c>
      <c r="I20" s="11">
        <f>I18+I19</f>
        <v>462624</v>
      </c>
      <c r="J20" s="11">
        <f>J18+J19</f>
        <v>296292</v>
      </c>
      <c r="K20" s="11">
        <f>K18+K19</f>
        <v>102624</v>
      </c>
    </row>
    <row r="23" spans="1:16" s="1" customFormat="1">
      <c r="A23" s="4"/>
      <c r="B23" s="14" t="s">
        <v>22</v>
      </c>
      <c r="C23" s="13">
        <f>C14+C20</f>
        <v>1172741</v>
      </c>
      <c r="D23" s="25">
        <f>D14+D20</f>
        <v>38383</v>
      </c>
      <c r="E23" s="4"/>
      <c r="F23" s="13">
        <f>F14+F20</f>
        <v>770939</v>
      </c>
      <c r="G23" s="4"/>
      <c r="H23" s="4" t="s">
        <v>20</v>
      </c>
      <c r="I23" s="13">
        <f>I14+I20</f>
        <v>1458478</v>
      </c>
      <c r="J23" s="13">
        <f>J14+J20</f>
        <v>542676</v>
      </c>
      <c r="K23" s="13">
        <f>K14+K20</f>
        <v>286737</v>
      </c>
      <c r="L23" s="4"/>
      <c r="M23" s="4"/>
      <c r="N23" s="4"/>
      <c r="O23" s="4"/>
      <c r="P23" s="4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EA9D-D998-6F4D-AD57-5B267F622DEC}">
  <dimension ref="A1:G20"/>
  <sheetViews>
    <sheetView workbookViewId="0">
      <selection activeCell="D33" sqref="D33"/>
    </sheetView>
  </sheetViews>
  <sheetFormatPr baseColWidth="10" defaultRowHeight="16"/>
  <cols>
    <col min="1" max="1" width="16.6640625" style="1" customWidth="1"/>
    <col min="2" max="2" width="21.83203125" customWidth="1"/>
    <col min="3" max="3" width="16.5" customWidth="1"/>
    <col min="4" max="4" width="40.1640625" customWidth="1"/>
    <col min="5" max="5" width="37.33203125" customWidth="1"/>
    <col min="6" max="6" width="21.83203125" customWidth="1"/>
    <col min="7" max="7" width="88.5" customWidth="1"/>
  </cols>
  <sheetData>
    <row r="1" spans="1:7" s="14" customFormat="1">
      <c r="A1" s="14" t="s">
        <v>27</v>
      </c>
      <c r="B1" s="14" t="s">
        <v>32</v>
      </c>
      <c r="C1" s="14" t="s">
        <v>33</v>
      </c>
      <c r="D1" s="14" t="s">
        <v>28</v>
      </c>
      <c r="E1" s="14" t="s">
        <v>30</v>
      </c>
      <c r="F1" s="14" t="s">
        <v>29</v>
      </c>
      <c r="G1" s="14" t="s">
        <v>43</v>
      </c>
    </row>
    <row r="2" spans="1:7" s="28" customFormat="1">
      <c r="A2" s="26">
        <v>46080</v>
      </c>
      <c r="B2" s="27">
        <v>143109</v>
      </c>
      <c r="C2" s="27" t="s">
        <v>31</v>
      </c>
      <c r="D2" s="28">
        <v>20</v>
      </c>
      <c r="E2" s="28" t="s">
        <v>35</v>
      </c>
    </row>
    <row r="3" spans="1:7" s="28" customFormat="1">
      <c r="A3" s="29"/>
      <c r="D3" s="28">
        <v>126</v>
      </c>
      <c r="E3" s="28" t="s">
        <v>35</v>
      </c>
    </row>
    <row r="4" spans="1:7" s="28" customFormat="1">
      <c r="A4" s="29"/>
      <c r="D4" s="28">
        <v>28</v>
      </c>
      <c r="E4" s="28" t="s">
        <v>34</v>
      </c>
    </row>
    <row r="5" spans="1:7" s="28" customFormat="1">
      <c r="A5" s="29"/>
      <c r="D5" s="28">
        <v>55</v>
      </c>
      <c r="E5" s="28" t="s">
        <v>35</v>
      </c>
    </row>
    <row r="6" spans="1:7" s="30" customFormat="1">
      <c r="C6" s="30" t="s">
        <v>42</v>
      </c>
      <c r="D6" s="30">
        <f>D2+D3+D4+D5</f>
        <v>229</v>
      </c>
      <c r="F6" s="31">
        <f>B2-D6</f>
        <v>142880</v>
      </c>
    </row>
    <row r="7" spans="1:7" s="7" customFormat="1">
      <c r="A7" s="32"/>
    </row>
    <row r="8" spans="1:7" s="7" customFormat="1">
      <c r="A8" s="32"/>
    </row>
    <row r="9" spans="1:7" s="28" customFormat="1">
      <c r="A9" s="26">
        <v>46081</v>
      </c>
      <c r="D9" s="28">
        <v>164</v>
      </c>
      <c r="E9" s="28" t="s">
        <v>36</v>
      </c>
    </row>
    <row r="10" spans="1:7" s="28" customFormat="1">
      <c r="A10" s="29"/>
      <c r="D10" s="28">
        <v>5000</v>
      </c>
      <c r="E10" s="28" t="s">
        <v>39</v>
      </c>
    </row>
    <row r="11" spans="1:7" s="30" customFormat="1">
      <c r="C11" s="30" t="s">
        <v>42</v>
      </c>
      <c r="D11" s="30">
        <f>D9+D10</f>
        <v>5164</v>
      </c>
      <c r="F11" s="31">
        <f>F6-D11</f>
        <v>137716</v>
      </c>
    </row>
    <row r="12" spans="1:7" s="7" customFormat="1">
      <c r="A12" s="32"/>
    </row>
    <row r="13" spans="1:7" s="7" customFormat="1">
      <c r="A13" s="32"/>
    </row>
    <row r="14" spans="1:7" s="28" customFormat="1">
      <c r="A14" s="26">
        <v>46082</v>
      </c>
      <c r="D14" s="28">
        <v>206.9</v>
      </c>
      <c r="E14" s="28" t="s">
        <v>37</v>
      </c>
    </row>
    <row r="15" spans="1:7" s="28" customFormat="1">
      <c r="A15" s="29"/>
      <c r="D15" s="28">
        <v>1280.95</v>
      </c>
      <c r="E15" s="28" t="s">
        <v>38</v>
      </c>
    </row>
    <row r="16" spans="1:7" s="28" customFormat="1">
      <c r="A16" s="29"/>
      <c r="D16" s="28">
        <v>6307</v>
      </c>
      <c r="E16" s="28" t="s">
        <v>40</v>
      </c>
      <c r="G16" s="28" t="s">
        <v>44</v>
      </c>
    </row>
    <row r="17" spans="1:7" s="28" customFormat="1">
      <c r="A17" s="29"/>
      <c r="D17" s="28">
        <v>19137.98</v>
      </c>
      <c r="E17" s="28" t="s">
        <v>41</v>
      </c>
      <c r="G17" s="28" t="s">
        <v>45</v>
      </c>
    </row>
    <row r="18" spans="1:7" s="30" customFormat="1">
      <c r="C18" s="30" t="s">
        <v>42</v>
      </c>
      <c r="D18" s="30">
        <f>D14+D15+D16+D17</f>
        <v>26932.83</v>
      </c>
      <c r="F18" s="31">
        <f>F11-D18</f>
        <v>110783.17</v>
      </c>
    </row>
    <row r="19" spans="1:7" s="7" customFormat="1">
      <c r="A19" s="32"/>
    </row>
    <row r="20" spans="1:7" s="7" customFormat="1">
      <c r="A20" s="3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Loans-Details</vt:lpstr>
      <vt:lpstr>March-Daily-Spend-2026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Robinsh</dc:creator>
  <cp:lastModifiedBy>Kumar, Robinsh</cp:lastModifiedBy>
  <dcterms:created xsi:type="dcterms:W3CDTF">2026-02-17T06:13:01Z</dcterms:created>
  <dcterms:modified xsi:type="dcterms:W3CDTF">2026-03-12T08:20:09Z</dcterms:modified>
</cp:coreProperties>
</file>